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00" windowWidth="19140" windowHeight="7340"/>
  </bookViews>
  <sheets>
    <sheet name="Validator" sheetId="1" r:id="rId1"/>
  </sheets>
  <functionGroups builtInGroupCount="17"/>
  <definedNames>
    <definedName name="_xlnm._FilterDatabase" localSheetId="0" hidden="1">Validator!$B$1:$I$10156</definedName>
  </definedNames>
  <calcPr calcId="145621"/>
</workbook>
</file>

<file path=xl/calcChain.xml><?xml version="1.0" encoding="utf-8"?>
<calcChain xmlns="http://schemas.openxmlformats.org/spreadsheetml/2006/main">
  <c r="H4" i="1" l="1"/>
  <c r="H2" i="1"/>
  <c r="I2" i="1"/>
  <c r="D3" i="1"/>
  <c r="E3" i="1" s="1"/>
  <c r="D4" i="1"/>
  <c r="E4" i="1" s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F3" i="1"/>
  <c r="F4" i="1"/>
  <c r="I4" i="1" s="1"/>
  <c r="F5" i="1"/>
  <c r="F6" i="1"/>
  <c r="F7" i="1"/>
  <c r="F8" i="1"/>
  <c r="F9" i="1"/>
  <c r="F10" i="1"/>
  <c r="F2" i="1"/>
  <c r="G5" i="1"/>
  <c r="G9" i="1"/>
  <c r="G7" i="1"/>
  <c r="G4" i="1"/>
  <c r="G6" i="1"/>
  <c r="G10" i="1"/>
  <c r="G3" i="1"/>
  <c r="G8" i="1"/>
  <c r="H10" i="1" l="1"/>
  <c r="I10" i="1"/>
  <c r="H9" i="1"/>
  <c r="I9" i="1"/>
  <c r="H8" i="1"/>
  <c r="I8" i="1"/>
  <c r="H6" i="1"/>
  <c r="H7" i="1"/>
  <c r="I7" i="1"/>
  <c r="I6" i="1"/>
  <c r="H3" i="1"/>
  <c r="I3" i="1"/>
  <c r="H5" i="1"/>
  <c r="I5" i="1"/>
  <c r="D2" i="1"/>
  <c r="E2" i="1" l="1"/>
  <c r="G2" i="1"/>
</calcChain>
</file>

<file path=xl/sharedStrings.xml><?xml version="1.0" encoding="utf-8"?>
<sst xmlns="http://schemas.openxmlformats.org/spreadsheetml/2006/main" count="28" uniqueCount="25">
  <si>
    <t>DateOfBirth</t>
  </si>
  <si>
    <t>ID Number</t>
  </si>
  <si>
    <t>ID Length</t>
  </si>
  <si>
    <t>ID agrees with Date of Birth</t>
  </si>
  <si>
    <t>ID Check Digit</t>
  </si>
  <si>
    <t xml:space="preserve">ID check digit and DOB pass </t>
  </si>
  <si>
    <t>Description</t>
  </si>
  <si>
    <t>Sample 1</t>
  </si>
  <si>
    <t>Sample 2</t>
  </si>
  <si>
    <t>Sample 3</t>
  </si>
  <si>
    <t>Sample 4</t>
  </si>
  <si>
    <t>Sample 5</t>
  </si>
  <si>
    <t>Sample 6</t>
  </si>
  <si>
    <t>Sample 7</t>
  </si>
  <si>
    <t>Sample 8</t>
  </si>
  <si>
    <t>Sample 9</t>
  </si>
  <si>
    <t>12022843453276</t>
  </si>
  <si>
    <t>Valid ID length?</t>
  </si>
  <si>
    <t>1202284345387</t>
  </si>
  <si>
    <t>Check Digit pass?</t>
  </si>
  <si>
    <t>1202284345384</t>
  </si>
  <si>
    <t>1202287345384</t>
  </si>
  <si>
    <t>1202288345383</t>
  </si>
  <si>
    <t>1202289345382</t>
  </si>
  <si>
    <t>Note: GetControlDigit() function take an "ID number" string and return the check digit.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</si>
</sst>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0" fontId="1" fillId="0" borderId="0" xfId="0" applyFont="1"/>
    <xf numFmtId="49" fontId="1" fillId="0" borderId="0" xfId="0" applyNumberFormat="1" applyFont="1"/>
    <xf numFmtId="49" fontId="0" fillId="0" borderId="0" xfId="0" applyNumberFormat="1"/>
    <xf numFmtId="14" fontId="1" fillId="0" borderId="0" xfId="0" applyNumberFormat="1" applyFont="1"/>
    <xf numFmtId="0" fontId="0" fillId="0" borderId="0" xfId="0" applyFill="1"/>
    <xf numFmtId="49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4"/>
  <sheetViews>
    <sheetView tabSelected="1" workbookViewId="0">
      <selection activeCell="C20" sqref="C20"/>
    </sheetView>
  </sheetViews>
  <sheetFormatPr defaultRowHeight="14.5" x14ac:dyDescent="0.35"/>
  <cols>
    <col min="1" max="1" width="15.26953125" customWidth="1"/>
    <col min="2" max="2" width="17.1796875" style="4" customWidth="1"/>
    <col min="3" max="3" width="15.81640625" style="1" customWidth="1"/>
    <col min="4" max="4" width="13.26953125" customWidth="1"/>
    <col min="5" max="5" width="16.08984375" customWidth="1"/>
    <col min="6" max="6" width="28.1796875" customWidth="1"/>
    <col min="7" max="8" width="17.1796875" customWidth="1"/>
    <col min="9" max="9" width="29.08984375" customWidth="1"/>
  </cols>
  <sheetData>
    <row r="1" spans="1:9" s="2" customFormat="1" x14ac:dyDescent="0.35">
      <c r="A1" s="2" t="s">
        <v>6</v>
      </c>
      <c r="B1" s="3" t="s">
        <v>1</v>
      </c>
      <c r="C1" s="5" t="s">
        <v>0</v>
      </c>
      <c r="D1" s="2" t="s">
        <v>2</v>
      </c>
      <c r="E1" s="2" t="s">
        <v>17</v>
      </c>
      <c r="F1" s="2" t="s">
        <v>3</v>
      </c>
      <c r="G1" s="2" t="s">
        <v>4</v>
      </c>
      <c r="H1" s="2" t="s">
        <v>19</v>
      </c>
      <c r="I1" s="2" t="s">
        <v>5</v>
      </c>
    </row>
    <row r="2" spans="1:9" x14ac:dyDescent="0.35">
      <c r="A2" t="s">
        <v>7</v>
      </c>
      <c r="B2" s="4" t="s">
        <v>16</v>
      </c>
      <c r="C2" s="1">
        <v>4442</v>
      </c>
      <c r="D2">
        <f>LEN(B2)</f>
        <v>14</v>
      </c>
      <c r="E2" s="6" t="str">
        <f>IF(D2=13,"yes","no")</f>
        <v>no</v>
      </c>
      <c r="F2" t="str">
        <f>IF(ISERROR(IF(
AND(
B2 &lt;&gt; "",
   RIGHT(YEAR(C2),2)=LEFT(B2,2),
   INT(MONTH(C2))=INT(MID(B2,3,2)),
   INT(DAY(C2))=INT(MID(B2,5,2))
),
"yes","no")),"",IF(
AND(
B2 &lt;&gt; "",
   RIGHT(YEAR(C2),2)=LEFT(B2,2),
   INT(MONTH(C2))=INT(MID(B2,3,2)),
   INT(DAY(C2))=INT(MID(B2,5,2))
),
"yes","no"))</f>
        <v>yes</v>
      </c>
      <c r="G2" t="str">
        <f>IF(D2=13,GetControlDigit(B2),"Invalid ID length")</f>
        <v>Invalid ID length</v>
      </c>
      <c r="H2" t="str">
        <f>IF(ISERROR(IF(INT(RIGHT(B2,1))=INT(G2),"yes","no")),"no",IF(INT(RIGHT(B2,1))=INT(G2),"yes","no"))</f>
        <v>no</v>
      </c>
      <c r="I2" t="str">
        <f>IF(ISERROR(IF(
AND(
  B2 &lt;&gt; "",
   D2=13,
   INT(RIGHT(B2,1))=INT(G2),
   F2="yes"
),"ID valid","Invalid ID")),"Invalid ID",IF(
AND(
  B2 &lt;&gt; "",
   D2=13,
   INT(RIGHT(B2,1))=INT(G2),
   F2="yes"
),"ID valid","Invalid ID"))</f>
        <v>Invalid ID</v>
      </c>
    </row>
    <row r="3" spans="1:9" x14ac:dyDescent="0.35">
      <c r="A3" t="s">
        <v>8</v>
      </c>
      <c r="B3" s="4" t="s">
        <v>16</v>
      </c>
      <c r="C3" s="1">
        <v>4441</v>
      </c>
      <c r="D3">
        <f t="shared" ref="D3:D10" si="0">LEN(B3)</f>
        <v>14</v>
      </c>
      <c r="E3" t="str">
        <f t="shared" ref="E3:E10" si="1">IF(D3=13,"yes","no")</f>
        <v>no</v>
      </c>
      <c r="F3" t="str">
        <f t="shared" ref="F3:F10" si="2">IF(ISERROR(IF(
AND(
B3 &lt;&gt; "",
   RIGHT(YEAR(C3),2)=LEFT(B3,2),
   INT(MONTH(C3))=INT(MID(B3,3,2)),
   INT(DAY(C3))=INT(MID(B3,5,2))
),
"yes","no")),"",IF(
AND(
B3 &lt;&gt; "",
   RIGHT(YEAR(C3),2)=LEFT(B3,2),
   INT(MONTH(C3))=INT(MID(B3,3,2)),
   INT(DAY(C3))=INT(MID(B3,5,2))
),
"yes","no"))</f>
        <v>no</v>
      </c>
      <c r="G3" t="str">
        <f>IF(D3=13,GetControlDigit(B3),"Invalid ID length")</f>
        <v>Invalid ID length</v>
      </c>
      <c r="H3" t="str">
        <f t="shared" ref="H3:H10" si="3">IF(ISERROR(IF(INT(RIGHT(B3,1))=INT(G3),"yes","no")),"no",IF(INT(RIGHT(B3,1))=INT(G3),"yes","no"))</f>
        <v>no</v>
      </c>
      <c r="I3" t="str">
        <f t="shared" ref="I3:I10" si="4">IF(ISERROR(IF(
AND(
  B3 &lt;&gt; "",
   D3=13,
   INT(RIGHT(B3,1))=INT(G3),
   F3="yes"
),"ID valid","Invalid ID")),"Invalid ID",IF(
AND(
  B3 &lt;&gt; "",
   D3=13,
   INT(RIGHT(B3,1))=INT(G3),
   F3="yes"
),"ID valid","Invalid ID"))</f>
        <v>Invalid ID</v>
      </c>
    </row>
    <row r="4" spans="1:9" x14ac:dyDescent="0.35">
      <c r="A4" t="s">
        <v>9</v>
      </c>
      <c r="B4" s="4" t="s">
        <v>18</v>
      </c>
      <c r="C4" s="1">
        <v>4442</v>
      </c>
      <c r="D4">
        <f t="shared" si="0"/>
        <v>13</v>
      </c>
      <c r="E4" t="str">
        <f t="shared" si="1"/>
        <v>yes</v>
      </c>
      <c r="F4" t="str">
        <f t="shared" si="2"/>
        <v>yes</v>
      </c>
      <c r="G4">
        <f>IF(D4=13,GetControlDigit(B4),"Invalid ID length")</f>
        <v>7</v>
      </c>
      <c r="H4" t="str">
        <f t="shared" si="3"/>
        <v>yes</v>
      </c>
      <c r="I4" t="str">
        <f t="shared" si="4"/>
        <v>ID valid</v>
      </c>
    </row>
    <row r="5" spans="1:9" x14ac:dyDescent="0.35">
      <c r="A5" t="s">
        <v>10</v>
      </c>
      <c r="B5" s="4" t="s">
        <v>18</v>
      </c>
      <c r="C5" s="1">
        <v>4441</v>
      </c>
      <c r="D5">
        <f t="shared" si="0"/>
        <v>13</v>
      </c>
      <c r="E5" t="str">
        <f t="shared" si="1"/>
        <v>yes</v>
      </c>
      <c r="F5" t="str">
        <f t="shared" si="2"/>
        <v>no</v>
      </c>
      <c r="G5">
        <f>IF(D5=13,GetControlDigit(B5),"Invalid ID length")</f>
        <v>7</v>
      </c>
      <c r="H5" t="str">
        <f t="shared" si="3"/>
        <v>yes</v>
      </c>
      <c r="I5" t="str">
        <f t="shared" si="4"/>
        <v>Invalid ID</v>
      </c>
    </row>
    <row r="6" spans="1:9" x14ac:dyDescent="0.35">
      <c r="A6" t="s">
        <v>11</v>
      </c>
      <c r="B6" s="4" t="s">
        <v>20</v>
      </c>
      <c r="C6" s="1">
        <v>4442</v>
      </c>
      <c r="D6">
        <f t="shared" si="0"/>
        <v>13</v>
      </c>
      <c r="E6" t="str">
        <f t="shared" si="1"/>
        <v>yes</v>
      </c>
      <c r="F6" t="str">
        <f t="shared" si="2"/>
        <v>yes</v>
      </c>
      <c r="G6">
        <f>IF(D6=13,GetControlDigit(B6),"Invalid ID length")</f>
        <v>7</v>
      </c>
      <c r="H6" t="str">
        <f t="shared" si="3"/>
        <v>no</v>
      </c>
      <c r="I6" t="str">
        <f t="shared" si="4"/>
        <v>Invalid ID</v>
      </c>
    </row>
    <row r="7" spans="1:9" x14ac:dyDescent="0.35">
      <c r="A7" t="s">
        <v>12</v>
      </c>
      <c r="B7" s="4" t="s">
        <v>20</v>
      </c>
      <c r="C7" s="1">
        <v>4441</v>
      </c>
      <c r="D7">
        <f t="shared" si="0"/>
        <v>13</v>
      </c>
      <c r="E7" t="str">
        <f t="shared" si="1"/>
        <v>yes</v>
      </c>
      <c r="F7" t="str">
        <f t="shared" si="2"/>
        <v>no</v>
      </c>
      <c r="G7">
        <f>IF(D7=13,GetControlDigit(B7),"Invalid ID length")</f>
        <v>7</v>
      </c>
      <c r="H7" t="str">
        <f t="shared" si="3"/>
        <v>no</v>
      </c>
      <c r="I7" t="str">
        <f t="shared" si="4"/>
        <v>Invalid ID</v>
      </c>
    </row>
    <row r="8" spans="1:9" x14ac:dyDescent="0.35">
      <c r="A8" t="s">
        <v>13</v>
      </c>
      <c r="B8" s="4" t="s">
        <v>21</v>
      </c>
      <c r="C8" s="1">
        <v>4448</v>
      </c>
      <c r="D8">
        <f t="shared" si="0"/>
        <v>13</v>
      </c>
      <c r="E8" t="str">
        <f t="shared" si="1"/>
        <v>yes</v>
      </c>
      <c r="F8" t="str">
        <f t="shared" si="2"/>
        <v>no</v>
      </c>
      <c r="G8">
        <f>IF(D8=13,GetControlDigit(B8),"Invalid ID length")</f>
        <v>4</v>
      </c>
      <c r="H8" t="str">
        <f t="shared" si="3"/>
        <v>yes</v>
      </c>
      <c r="I8" t="str">
        <f t="shared" si="4"/>
        <v>Invalid ID</v>
      </c>
    </row>
    <row r="9" spans="1:9" x14ac:dyDescent="0.35">
      <c r="A9" t="s">
        <v>14</v>
      </c>
      <c r="B9" s="4" t="s">
        <v>22</v>
      </c>
      <c r="C9" s="1">
        <v>4449</v>
      </c>
      <c r="D9">
        <f t="shared" si="0"/>
        <v>13</v>
      </c>
      <c r="E9" t="str">
        <f t="shared" si="1"/>
        <v>yes</v>
      </c>
      <c r="F9" t="str">
        <f t="shared" si="2"/>
        <v>no</v>
      </c>
      <c r="G9">
        <f>IF(D9=13,GetControlDigit(B9),"Invalid ID length")</f>
        <v>3</v>
      </c>
      <c r="H9" t="str">
        <f t="shared" si="3"/>
        <v>yes</v>
      </c>
      <c r="I9" t="str">
        <f t="shared" si="4"/>
        <v>Invalid ID</v>
      </c>
    </row>
    <row r="10" spans="1:9" x14ac:dyDescent="0.35">
      <c r="A10" t="s">
        <v>15</v>
      </c>
      <c r="B10" s="4" t="s">
        <v>23</v>
      </c>
      <c r="C10" s="1">
        <v>4450</v>
      </c>
      <c r="D10">
        <f t="shared" si="0"/>
        <v>13</v>
      </c>
      <c r="E10" t="str">
        <f t="shared" si="1"/>
        <v>yes</v>
      </c>
      <c r="F10" t="str">
        <f t="shared" si="2"/>
        <v>no</v>
      </c>
      <c r="G10">
        <f>IF(D10=13,GetControlDigit(B10),"Invalid ID length")</f>
        <v>2</v>
      </c>
      <c r="H10" t="str">
        <f t="shared" si="3"/>
        <v>yes</v>
      </c>
      <c r="I10" t="str">
        <f t="shared" si="4"/>
        <v>Invalid ID</v>
      </c>
    </row>
    <row r="14" spans="1:9" x14ac:dyDescent="0.35">
      <c r="B14" s="7" t="s">
        <v>24</v>
      </c>
    </row>
  </sheetData>
  <autoFilter ref="A1:I10156">
    <sortState ref="A2:N10156">
      <sortCondition ref="C4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Validator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Maakal</dc:creator>
  <cp:lastModifiedBy>Chris Maakal</cp:lastModifiedBy>
  <dcterms:created xsi:type="dcterms:W3CDTF">2018-11-20T07:43:26Z</dcterms:created>
  <dcterms:modified xsi:type="dcterms:W3CDTF">2018-11-22T07:37:00Z</dcterms:modified>
</cp:coreProperties>
</file>